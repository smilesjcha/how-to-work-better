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56884a78be4b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e0e163506624614"/>
    <x:sheet xmlns:r="http://schemas.openxmlformats.org/officeDocument/2006/relationships" name="Inputs" sheetId="2" r:id="Rc3107c1379354dae"/>
    <x:sheet xmlns:r="http://schemas.openxmlformats.org/officeDocument/2006/relationships" name="Weekly detail" sheetId="3" r:id="R54d61f31314041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.0%"/>
  </x:numFmts>
  <x:fonts count="6">
    <x:font>
      <x:sz val="11"/>
      <x:name val="Carlito"/>
    </x:font>
    <x:font>
      <x:sz val="10"/>
      <x:color rgb="FF17212B"/>
      <x:name val="Arial"/>
    </x:font>
    <x:font>
      <x:b/>
      <x:sz val="14"/>
      <x:color rgb="FF17212B"/>
      <x:name val="Arial"/>
    </x:font>
    <x:font>
      <x:b/>
      <x:sz val="10"/>
      <x:color rgb="FFFFFFFF"/>
      <x:name val="Arial"/>
    </x:font>
    <x:font>
      <x:sz val="10"/>
      <x:color rgb="FF17191C"/>
      <x:name val="Arial"/>
    </x:font>
    <x:font>
      <x:b/>
      <x:sz val="14"/>
      <x:color rgb="FF17191C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B1F3A"/>
      </x:patternFill>
    </x:fill>
    <x:fill>
      <x:patternFill patternType="solid">
        <x:fgColor rgb="FF101B2A"/>
      </x:patternFill>
    </x:fill>
  </x:fills>
  <x:borders count="1">
    <x:border/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200" fontId="1" fillId="0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4" fillId="3" borderId="0" xfId="0" applyNumberFormat="1" applyFont="1" applyFill="1" applyBorder="1"/>
    <x:xf numFmtId="0" fontId="3" fillId="3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8b7a40ee2c414f" /><Relationship Type="http://schemas.openxmlformats.org/officeDocument/2006/relationships/theme" Target="/xl/theme/theme1.xml" Id="Rec1b065256d44c25" /><Relationship Type="http://schemas.openxmlformats.org/officeDocument/2006/relationships/sharedStrings" Target="/xl/sharedStrings.xml" Id="Rcce5f102c6bf4f0e" /><Relationship Type="http://schemas.openxmlformats.org/officeDocument/2006/relationships/worksheet" Target="/xl/worksheets/sheet1.xml" Id="R6e0e163506624614" /><Relationship Type="http://schemas.openxmlformats.org/officeDocument/2006/relationships/worksheet" Target="/xl/worksheets/sheet2.xml" Id="Rc3107c1379354dae" /><Relationship Type="http://schemas.openxmlformats.org/officeDocument/2006/relationships/worksheet" Target="/xl/worksheets/sheet3.xml" Id="R54d61f313140418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0" hidden="0" customWidth="1"/>
    <x:col min="3" max="3" width="20" hidden="0" customWidth="1"/>
    <x:col min="4" max="4" width="21" hidden="0" customWidth="1"/>
    <x:col min="5" max="5" width="21" hidden="0" customWidth="1"/>
  </x:cols>
  <x:sheetData>
    <x:row r="1">
      <x:c r="A1" s="2" t="str">
        <x:v>월별 판매·반품 요약</x:v>
      </x:c>
      <x:c r="B1" s="1"/>
      <x:c r="C1" s="1"/>
      <x:c r="D1" s="1"/>
      <x:c r="E1" s="1"/>
    </x:row>
    <x:row r="2">
      <x:c r="A2" s="1" t="str">
        <x:v>교육용 가상 데이터 · 반품률 = 반품 접수 건수 ÷ 판매 수량</x:v>
      </x:c>
      <x:c r="B2" s="1"/>
      <x:c r="C2" s="1"/>
      <x:c r="D2" s="1"/>
      <x:c r="E2" s="1"/>
    </x:row>
    <x:row r="3">
      <x:c r="A3" s="1"/>
      <x:c r="B3" s="1"/>
      <x:c r="C3" s="1"/>
      <x:c r="D3" s="1"/>
      <x:c r="E3" s="1"/>
    </x:row>
    <x:row r="4" ht="25" customHeight="1">
      <x:c r="A4" s="4" t="str">
        <x:v>월</x:v>
      </x:c>
      <x:c r="B4" s="4" t="str">
        <x:v>판매 수량(개)</x:v>
      </x:c>
      <x:c r="C4" s="4" t="str">
        <x:v>반품 접수(건)</x:v>
      </x:c>
      <x:c r="D4" s="4" t="str">
        <x:v>연습용 반품률</x:v>
      </x:c>
      <x:c r="E4" s="4" t="str">
        <x:v>목표 달성률</x:v>
      </x:c>
    </x:row>
    <x:row r="5" ht="25" customHeight="1">
      <x:c r="A5" s="1" t="str">
        <x:v>2026-06</x:v>
      </x:c>
      <x:c r="B5" s="5" t="n">
        <x:f>SUMIFS(Inputs!$C$4:$C$9,Inputs!$A$4:$A$9,A5)</x:f>
        <x:v>2500</x:v>
      </x:c>
      <x:c r="C5" s="5" t="n">
        <x:f>SUMIFS(Inputs!$D$4:$D$9,Inputs!$A$4:$A$9,A5)</x:f>
        <x:v>30</x:v>
      </x:c>
      <x:c r="D5" s="13" t="n">
        <x:f>C5/B5</x:f>
        <x:v>0.012</x:v>
      </x:c>
      <x:c r="E5" s="15" t="str">
        <x:v>n.a.</x:v>
      </x:c>
    </x:row>
    <x:row r="6" ht="25" customHeight="1">
      <x:c r="A6" s="1" t="str">
        <x:v>2026-07</x:v>
      </x:c>
      <x:c r="B6" s="5" t="n">
        <x:f>SUMIFS(Inputs!$C$4:$C$9,Inputs!$A$4:$A$9,A6)</x:f>
        <x:v>2630</x:v>
      </x:c>
      <x:c r="C6" s="5" t="n">
        <x:f>SUMIFS(Inputs!$D$4:$D$9,Inputs!$A$4:$A$9,A6)</x:f>
        <x:v>34</x:v>
      </x:c>
      <x:c r="D6" s="13" t="n">
        <x:f>C6/B6</x:f>
        <x:v>0.012927756653992395</x:v>
      </x:c>
      <x:c r="E6" s="14" t="n">
        <x:f>B6/SUMIFS(Inputs!$E$4:$E$9,Inputs!$A$4:$A$9,A6)</x:f>
        <x:v>0.9669117647058824</x:v>
      </x:c>
    </x:row>
    <x:row r="7" ht="25" customHeight="1">
      <x:c r="A7" s="1"/>
      <x:c r="B7" s="1"/>
      <x:c r="C7" s="1"/>
      <x:c r="D7" s="1"/>
      <x:c r="E7" s="1"/>
    </x:row>
    <x:row r="8" ht="25" customHeight="1">
      <x:c r="A8" s="4" t="str">
        <x:v>제품</x:v>
      </x:c>
      <x:c r="B8" s="4" t="str">
        <x:v>6월 반품률</x:v>
      </x:c>
      <x:c r="C8" s="4" t="str">
        <x:v>7월 반품률</x:v>
      </x:c>
      <x:c r="D8" s="4" t="str">
        <x:v>7월 목표(개)</x:v>
      </x:c>
      <x:c r="E8" s="4" t="str">
        <x:v>7월 달성률</x:v>
      </x:c>
    </x:row>
    <x:row r="9" ht="25" customHeight="1">
      <x:c r="A9" s="1" t="str">
        <x:v>A 플레인</x:v>
      </x:c>
      <x:c r="B9" s="13" t="n">
        <x:f>SUMIFS(Inputs!$D$4:$D$9,Inputs!$A$4:$A$9,"2026-06",Inputs!$B$4:$B$9,A9)/SUMIFS(Inputs!$C$4:$C$9,Inputs!$A$4:$A$9,"2026-06",Inputs!$B$4:$B$9,A9)</x:f>
        <x:v>0.01</x:v>
      </x:c>
      <x:c r="C9" s="13" t="n">
        <x:f>SUMIFS(Inputs!$D$4:$D$9,Inputs!$A$4:$A$9,"2026-07",Inputs!$B$4:$B$9,A9)/SUMIFS(Inputs!$C$4:$C$9,Inputs!$A$4:$A$9,"2026-07",Inputs!$B$4:$B$9,A9)</x:f>
        <x:v>0.008333333333333333</x:v>
      </x:c>
      <x:c r="D9" s="5" t="n">
        <x:f>SUMIFS(Inputs!$E$4:$E$9,Inputs!$A$4:$A$9,"2026-07",Inputs!$B$4:$B$9,A9)</x:f>
        <x:v>1300</x:v>
      </x:c>
      <x:c r="E9" s="14" t="n">
        <x:f>SUMIFS(Inputs!$C$4:$C$9,Inputs!$A$4:$A$9,"2026-07",Inputs!$B$4:$B$9,A9)/D9</x:f>
        <x:v>1.0153846153846153</x:v>
      </x:c>
    </x:row>
    <x:row r="10" ht="25" customHeight="1">
      <x:c r="A10" s="1" t="str">
        <x:v>B 스트링</x:v>
      </x:c>
      <x:c r="B10" s="13" t="n">
        <x:f>SUMIFS(Inputs!$D$4:$D$9,Inputs!$A$4:$A$9,"2026-06",Inputs!$B$4:$B$9,A10)/SUMIFS(Inputs!$C$4:$C$9,Inputs!$A$4:$A$9,"2026-06",Inputs!$B$4:$B$9,A10)</x:f>
        <x:v>0.01</x:v>
      </x:c>
      <x:c r="C10" s="13" t="n">
        <x:f>SUMIFS(Inputs!$D$4:$D$9,Inputs!$A$4:$A$9,"2026-07",Inputs!$B$4:$B$9,A10)/SUMIFS(Inputs!$C$4:$C$9,Inputs!$A$4:$A$9,"2026-07",Inputs!$B$4:$B$9,A10)</x:f>
        <x:v>0.015789473684210527</x:v>
      </x:c>
      <x:c r="D10" s="5" t="n">
        <x:f>SUMIFS(Inputs!$E$4:$E$9,Inputs!$A$4:$A$9,"2026-07",Inputs!$B$4:$B$9,A10)</x:f>
        <x:v>820</x:v>
      </x:c>
      <x:c r="E10" s="14" t="n">
        <x:f>SUMIFS(Inputs!$C$4:$C$9,Inputs!$A$4:$A$9,"2026-07",Inputs!$B$4:$B$9,A10)/D10</x:f>
        <x:v>0.926829268292683</x:v>
      </x:c>
    </x:row>
    <x:row r="11" ht="25" customHeight="1">
      <x:c r="A11" s="1" t="str">
        <x:v>C 요거트</x:v>
      </x:c>
      <x:c r="B11" s="13" t="n">
        <x:f>SUMIFS(Inputs!$D$4:$D$9,Inputs!$A$4:$A$9,"2026-06",Inputs!$B$4:$B$9,A11)/SUMIFS(Inputs!$C$4:$C$9,Inputs!$A$4:$A$9,"2026-06",Inputs!$B$4:$B$9,A11)</x:f>
        <x:v>0.02</x:v>
      </x:c>
      <x:c r="C11" s="13" t="n">
        <x:f>SUMIFS(Inputs!$D$4:$D$9,Inputs!$A$4:$A$9,"2026-07",Inputs!$B$4:$B$9,A11)/SUMIFS(Inputs!$C$4:$C$9,Inputs!$A$4:$A$9,"2026-07",Inputs!$B$4:$B$9,A11)</x:f>
        <x:v>0.02</x:v>
      </x:c>
      <x:c r="D11" s="5" t="n">
        <x:f>SUMIFS(Inputs!$E$4:$E$9,Inputs!$A$4:$A$9,"2026-07",Inputs!$B$4:$B$9,A11)</x:f>
        <x:v>600</x:v>
      </x:c>
      <x:c r="E11" s="14" t="n">
        <x:f>SUMIFS(Inputs!$C$4:$C$9,Inputs!$A$4:$A$9,"2026-07",Inputs!$B$4:$B$9,A11)/D11</x:f>
        <x:v>0.9166666666666666</x:v>
      </x:c>
    </x:row>
    <x:row r="12">
      <x:c r="A12" s="1"/>
      <x:c r="B12" s="1"/>
      <x:c r="C12" s="1"/>
      <x:c r="D12" s="1"/>
      <x:c r="E12" s="1"/>
    </x:row>
    <x:row r="13">
      <x:c r="A13" s="1" t="str">
        <x:v>원인·유형·안전성·법규 적합성은 이 파일로 판단할 수 없습니다.</x:v>
      </x:c>
      <x:c r="B13" s="1"/>
      <x:c r="C13" s="1"/>
      <x:c r="D13" s="1"/>
      <x:c r="E13" s="1"/>
    </x:row>
    <x:row r="14">
      <x:c r="A14" s="1"/>
      <x:c r="B14" s="1"/>
      <x:c r="C14" s="1"/>
      <x:c r="D14" s="1"/>
      <x:c r="E14" s="1"/>
    </x:row>
    <x:row r="15" ht="25" customHeight="1">
      <x:c r="A15" s="9" t="str">
        <x:v>월</x:v>
      </x:c>
      <x:c r="B15" s="9" t="str">
        <x:v>월별 판매(개)</x:v>
      </x:c>
      <x:c r="C15" s="9" t="str">
        <x:v>주차 합계(개)</x:v>
      </x:c>
      <x:c r="D15" s="9" t="str">
        <x:v>판매 차이(개)</x:v>
      </x:c>
      <x:c r="E15" s="9" t="str">
        <x:v>반품 차이(건)</x:v>
      </x:c>
    </x:row>
    <x:row r="16" ht="25" customHeight="1">
      <x:c r="A16" s="1" t="str">
        <x:v>2026-06</x:v>
      </x:c>
      <x:c r="B16" s="5" t="n">
        <x:f>B5</x:f>
        <x:v>2500</x:v>
      </x:c>
      <x:c r="C16" s="5" t="n">
        <x:f>SUMIFS('Weekly detail'!$E$4:$E$27,'Weekly detail'!$A$4:$A$27,A16)</x:f>
        <x:v>2500</x:v>
      </x:c>
      <x:c r="D16" s="5" t="n">
        <x:f>B16-C16</x:f>
        <x:v>0</x:v>
      </x:c>
      <x:c r="E16" s="5" t="n">
        <x:f>C5-SUMIFS('Weekly detail'!$F$4:$F$27,'Weekly detail'!$A$4:$A$27,A16)</x:f>
        <x:v>0</x:v>
      </x:c>
    </x:row>
    <x:row r="17" ht="25" customHeight="1">
      <x:c r="A17" s="1" t="str">
        <x:v>2026-07</x:v>
      </x:c>
      <x:c r="B17" s="5" t="n">
        <x:f>B6</x:f>
        <x:v>2630</x:v>
      </x:c>
      <x:c r="C17" s="5" t="n">
        <x:f>SUMIFS('Weekly detail'!$E$4:$E$27,'Weekly detail'!$A$4:$A$27,A17)</x:f>
        <x:v>2630</x:v>
      </x:c>
      <x:c r="D17" s="5" t="n">
        <x:f>B17-C17</x:f>
        <x:v>0</x:v>
      </x:c>
      <x:c r="E17" s="5" t="n">
        <x:f>C6-SUMIFS('Weekly detail'!$F$4:$F$27,'Weekly detail'!$A$4:$A$27,A17)</x:f>
        <x:v>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7" hidden="0" customWidth="1"/>
    <x:col min="2" max="2" width="19" hidden="0" customWidth="1"/>
    <x:col min="3" max="3" width="20" hidden="0" customWidth="1"/>
    <x:col min="4" max="4" width="20" hidden="0" customWidth="1"/>
    <x:col min="5" max="5" width="20" hidden="0" customWidth="1"/>
  </x:cols>
  <x:sheetData>
    <x:row r="1">
      <x:c r="A1" s="2" t="str">
        <x:v>한빛유업 가상 실습 데이터</x:v>
      </x:c>
      <x:c r="B1" s="1"/>
      <x:c r="C1" s="1"/>
      <x:c r="D1" s="1"/>
      <x:c r="E1" s="1"/>
    </x:row>
    <x:row r="2">
      <x:c r="A2" s="1" t="str">
        <x:v>수치는 교육용 가상 값입니다. 실제 기업 데이터가 아닙니다.</x:v>
      </x:c>
      <x:c r="B2" s="1"/>
      <x:c r="C2" s="1"/>
      <x:c r="D2" s="1"/>
      <x:c r="E2" s="1"/>
    </x:row>
    <x:row r="3">
      <x:c r="A3" s="4" t="str">
        <x:v>월</x:v>
      </x:c>
      <x:c r="B3" s="4" t="str">
        <x:v>제품</x:v>
      </x:c>
      <x:c r="C3" s="4" t="str">
        <x:v>판매 수량(개)</x:v>
      </x:c>
      <x:c r="D3" s="4" t="str">
        <x:v>반품 접수(건)</x:v>
      </x:c>
      <x:c r="E3" s="4" t="str">
        <x:v>7월 목표(개)</x:v>
      </x:c>
    </x:row>
    <x:row r="4" ht="25" customHeight="1">
      <x:c r="A4" s="1" t="str">
        <x:v>2026-06</x:v>
      </x:c>
      <x:c r="B4" s="1" t="str">
        <x:v>A 플레인</x:v>
      </x:c>
      <x:c r="C4" s="5" t="n">
        <x:v>1200</x:v>
      </x:c>
      <x:c r="D4" s="5" t="n">
        <x:v>12</x:v>
      </x:c>
      <x:c r="E4" s="5"/>
    </x:row>
    <x:row r="5" ht="25" customHeight="1">
      <x:c r="A5" s="1" t="str">
        <x:v>2026-06</x:v>
      </x:c>
      <x:c r="B5" s="1" t="str">
        <x:v>B 스트링</x:v>
      </x:c>
      <x:c r="C5" s="5" t="n">
        <x:v>800</x:v>
      </x:c>
      <x:c r="D5" s="5" t="n">
        <x:v>8</x:v>
      </x:c>
      <x:c r="E5" s="5"/>
    </x:row>
    <x:row r="6" ht="25" customHeight="1">
      <x:c r="A6" s="1" t="str">
        <x:v>2026-06</x:v>
      </x:c>
      <x:c r="B6" s="1" t="str">
        <x:v>C 요거트</x:v>
      </x:c>
      <x:c r="C6" s="5" t="n">
        <x:v>500</x:v>
      </x:c>
      <x:c r="D6" s="5" t="n">
        <x:v>10</x:v>
      </x:c>
      <x:c r="E6" s="5"/>
    </x:row>
    <x:row r="7" ht="25" customHeight="1">
      <x:c r="A7" s="1" t="str">
        <x:v>2026-07</x:v>
      </x:c>
      <x:c r="B7" s="1" t="str">
        <x:v>A 플레인</x:v>
      </x:c>
      <x:c r="C7" s="5" t="n">
        <x:v>1320</x:v>
      </x:c>
      <x:c r="D7" s="5" t="n">
        <x:v>11</x:v>
      </x:c>
      <x:c r="E7" s="5" t="n">
        <x:v>1300</x:v>
      </x:c>
    </x:row>
    <x:row r="8" ht="25" customHeight="1">
      <x:c r="A8" s="1" t="str">
        <x:v>2026-07</x:v>
      </x:c>
      <x:c r="B8" s="1" t="str">
        <x:v>B 스트링</x:v>
      </x:c>
      <x:c r="C8" s="5" t="n">
        <x:v>760</x:v>
      </x:c>
      <x:c r="D8" s="5" t="n">
        <x:v>12</x:v>
      </x:c>
      <x:c r="E8" s="5" t="n">
        <x:v>820</x:v>
      </x:c>
    </x:row>
    <x:row r="9" ht="25" customHeight="1">
      <x:c r="A9" s="1" t="str">
        <x:v>2026-07</x:v>
      </x:c>
      <x:c r="B9" s="1" t="str">
        <x:v>C 요거트</x:v>
      </x:c>
      <x:c r="C9" s="5" t="n">
        <x:v>550</x:v>
      </x:c>
      <x:c r="D9" s="5" t="n">
        <x:v>11</x:v>
      </x:c>
      <x:c r="E9" s="5" t="n">
        <x:v>600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21" hidden="0" customWidth="1"/>
    <x:col min="4" max="4" width="19" hidden="0" customWidth="1"/>
    <x:col min="5" max="5" width="20" hidden="0" customWidth="1"/>
    <x:col min="6" max="6" width="20" hidden="0" customWidth="1"/>
    <x:col min="7" max="7" width="16" hidden="0" customWidth="1"/>
  </x:cols>
  <x:sheetData>
    <x:row r="1">
      <x:c r="A1" s="7" t="str">
        <x:v>주차별 운영 원장 · 교육용 가상 데이터</x:v>
      </x:c>
      <x:c r="B1" s="6"/>
      <x:c r="C1" s="6"/>
      <x:c r="D1" s="6"/>
      <x:c r="E1" s="6"/>
      <x:c r="F1" s="6"/>
      <x:c r="G1" s="6"/>
    </x:row>
    <x:row r="2">
      <x:c r="A2" s="6" t="str">
        <x:v>월별 요약과 같은 합계로 설계한 심화용 24행 자료입니다. 실제 거래·고객·기업 정보가 아닙니다.</x:v>
      </x:c>
      <x:c r="B2" s="6"/>
      <x:c r="C2" s="6"/>
      <x:c r="D2" s="6"/>
      <x:c r="E2" s="6"/>
      <x:c r="F2" s="6"/>
      <x:c r="G2" s="6"/>
    </x:row>
    <x:row r="3">
      <x:c r="A3" s="9" t="str">
        <x:v>월</x:v>
      </x:c>
      <x:c r="B3" s="9" t="str">
        <x:v>월내 주차</x:v>
      </x:c>
      <x:c r="C3" s="9" t="str">
        <x:v>집계 배치 ID</x:v>
      </x:c>
      <x:c r="D3" s="9" t="str">
        <x:v>제품</x:v>
      </x:c>
      <x:c r="E3" s="9" t="str">
        <x:v>판매 수량(개)</x:v>
      </x:c>
      <x:c r="F3" s="9" t="str">
        <x:v>반품 접수(건)</x:v>
      </x:c>
      <x:c r="G3" s="9" t="str">
        <x:v>마감 상태</x:v>
      </x:c>
    </x:row>
    <x:row r="4" ht="22" customHeight="1">
      <x:c r="A4" s="6" t="str">
        <x:v>2026-06</x:v>
      </x:c>
      <x:c r="B4" s="11" t="n">
        <x:v>1</x:v>
      </x:c>
      <x:c r="C4" s="6" t="str">
        <x:v>HB-2606-W1-A</x:v>
      </x:c>
      <x:c r="D4" s="6" t="str">
        <x:v>A 플레인</x:v>
      </x:c>
      <x:c r="E4" s="10" t="n">
        <x:v>295</x:v>
      </x:c>
      <x:c r="F4" s="10" t="n">
        <x:v>3</x:v>
      </x:c>
      <x:c r="G4" s="11" t="str">
        <x:v>closed</x:v>
      </x:c>
    </x:row>
    <x:row r="5" ht="22" customHeight="1">
      <x:c r="A5" s="6" t="str">
        <x:v>2026-06</x:v>
      </x:c>
      <x:c r="B5" s="11" t="n">
        <x:v>2</x:v>
      </x:c>
      <x:c r="C5" s="6" t="str">
        <x:v>HB-2606-W2-A</x:v>
      </x:c>
      <x:c r="D5" s="6" t="str">
        <x:v>A 플레인</x:v>
      </x:c>
      <x:c r="E5" s="10" t="n">
        <x:v>310</x:v>
      </x:c>
      <x:c r="F5" s="10" t="n">
        <x:v>2</x:v>
      </x:c>
      <x:c r="G5" s="11" t="str">
        <x:v>closed</x:v>
      </x:c>
    </x:row>
    <x:row r="6" ht="22" customHeight="1">
      <x:c r="A6" s="6" t="str">
        <x:v>2026-06</x:v>
      </x:c>
      <x:c r="B6" s="11" t="n">
        <x:v>3</x:v>
      </x:c>
      <x:c r="C6" s="6" t="str">
        <x:v>HB-2606-W3-A</x:v>
      </x:c>
      <x:c r="D6" s="6" t="str">
        <x:v>A 플레인</x:v>
      </x:c>
      <x:c r="E6" s="10" t="n">
        <x:v>285</x:v>
      </x:c>
      <x:c r="F6" s="10" t="n">
        <x:v>4</x:v>
      </x:c>
      <x:c r="G6" s="11" t="str">
        <x:v>closed</x:v>
      </x:c>
    </x:row>
    <x:row r="7" ht="22" customHeight="1">
      <x:c r="A7" s="6" t="str">
        <x:v>2026-06</x:v>
      </x:c>
      <x:c r="B7" s="11" t="n">
        <x:v>4</x:v>
      </x:c>
      <x:c r="C7" s="6" t="str">
        <x:v>HB-2606-W4-A</x:v>
      </x:c>
      <x:c r="D7" s="6" t="str">
        <x:v>A 플레인</x:v>
      </x:c>
      <x:c r="E7" s="10" t="n">
        <x:v>310</x:v>
      </x:c>
      <x:c r="F7" s="10" t="n">
        <x:v>3</x:v>
      </x:c>
      <x:c r="G7" s="11" t="str">
        <x:v>closed</x:v>
      </x:c>
    </x:row>
    <x:row r="8" ht="22" customHeight="1">
      <x:c r="A8" s="6" t="str">
        <x:v>2026-06</x:v>
      </x:c>
      <x:c r="B8" s="11" t="n">
        <x:v>1</x:v>
      </x:c>
      <x:c r="C8" s="6" t="str">
        <x:v>HB-2606-W1-B</x:v>
      </x:c>
      <x:c r="D8" s="6" t="str">
        <x:v>B 스트링</x:v>
      </x:c>
      <x:c r="E8" s="10" t="n">
        <x:v>195</x:v>
      </x:c>
      <x:c r="F8" s="10" t="n">
        <x:v>2</x:v>
      </x:c>
      <x:c r="G8" s="11" t="str">
        <x:v>closed</x:v>
      </x:c>
    </x:row>
    <x:row r="9" ht="22" customHeight="1">
      <x:c r="A9" s="6" t="str">
        <x:v>2026-06</x:v>
      </x:c>
      <x:c r="B9" s="11" t="n">
        <x:v>2</x:v>
      </x:c>
      <x:c r="C9" s="6" t="str">
        <x:v>HB-2606-W2-B</x:v>
      </x:c>
      <x:c r="D9" s="6" t="str">
        <x:v>B 스트링</x:v>
      </x:c>
      <x:c r="E9" s="10" t="n">
        <x:v>210</x:v>
      </x:c>
      <x:c r="F9" s="10" t="n">
        <x:v>2</x:v>
      </x:c>
      <x:c r="G9" s="11" t="str">
        <x:v>closed</x:v>
      </x:c>
    </x:row>
    <x:row r="10" ht="22" customHeight="1">
      <x:c r="A10" s="6" t="str">
        <x:v>2026-06</x:v>
      </x:c>
      <x:c r="B10" s="11" t="n">
        <x:v>3</x:v>
      </x:c>
      <x:c r="C10" s="6" t="str">
        <x:v>HB-2606-W3-B</x:v>
      </x:c>
      <x:c r="D10" s="6" t="str">
        <x:v>B 스트링</x:v>
      </x:c>
      <x:c r="E10" s="10" t="n">
        <x:v>185</x:v>
      </x:c>
      <x:c r="F10" s="10" t="n">
        <x:v>1</x:v>
      </x:c>
      <x:c r="G10" s="11" t="str">
        <x:v>closed</x:v>
      </x:c>
    </x:row>
    <x:row r="11" ht="22" customHeight="1">
      <x:c r="A11" s="6" t="str">
        <x:v>2026-06</x:v>
      </x:c>
      <x:c r="B11" s="11" t="n">
        <x:v>4</x:v>
      </x:c>
      <x:c r="C11" s="6" t="str">
        <x:v>HB-2606-W4-B</x:v>
      </x:c>
      <x:c r="D11" s="6" t="str">
        <x:v>B 스트링</x:v>
      </x:c>
      <x:c r="E11" s="10" t="n">
        <x:v>210</x:v>
      </x:c>
      <x:c r="F11" s="10" t="n">
        <x:v>3</x:v>
      </x:c>
      <x:c r="G11" s="11" t="str">
        <x:v>closed</x:v>
      </x:c>
    </x:row>
    <x:row r="12" ht="22" customHeight="1">
      <x:c r="A12" s="6" t="str">
        <x:v>2026-06</x:v>
      </x:c>
      <x:c r="B12" s="11" t="n">
        <x:v>1</x:v>
      </x:c>
      <x:c r="C12" s="6" t="str">
        <x:v>HB-2606-W1-C</x:v>
      </x:c>
      <x:c r="D12" s="6" t="str">
        <x:v>C 요거트</x:v>
      </x:c>
      <x:c r="E12" s="10" t="n">
        <x:v>120</x:v>
      </x:c>
      <x:c r="F12" s="10" t="n">
        <x:v>2</x:v>
      </x:c>
      <x:c r="G12" s="11" t="str">
        <x:v>closed</x:v>
      </x:c>
    </x:row>
    <x:row r="13" ht="22" customHeight="1">
      <x:c r="A13" s="6" t="str">
        <x:v>2026-06</x:v>
      </x:c>
      <x:c r="B13" s="11" t="n">
        <x:v>2</x:v>
      </x:c>
      <x:c r="C13" s="6" t="str">
        <x:v>HB-2606-W2-C</x:v>
      </x:c>
      <x:c r="D13" s="6" t="str">
        <x:v>C 요거트</x:v>
      </x:c>
      <x:c r="E13" s="10" t="n">
        <x:v>130</x:v>
      </x:c>
      <x:c r="F13" s="10" t="n">
        <x:v>3</x:v>
      </x:c>
      <x:c r="G13" s="11" t="str">
        <x:v>closed</x:v>
      </x:c>
    </x:row>
    <x:row r="14" ht="22" customHeight="1">
      <x:c r="A14" s="6" t="str">
        <x:v>2026-06</x:v>
      </x:c>
      <x:c r="B14" s="11" t="n">
        <x:v>3</x:v>
      </x:c>
      <x:c r="C14" s="6" t="str">
        <x:v>HB-2606-W3-C</x:v>
      </x:c>
      <x:c r="D14" s="6" t="str">
        <x:v>C 요거트</x:v>
      </x:c>
      <x:c r="E14" s="10" t="n">
        <x:v>125</x:v>
      </x:c>
      <x:c r="F14" s="10" t="n">
        <x:v>2</x:v>
      </x:c>
      <x:c r="G14" s="11" t="str">
        <x:v>closed</x:v>
      </x:c>
    </x:row>
    <x:row r="15" ht="22" customHeight="1">
      <x:c r="A15" s="6" t="str">
        <x:v>2026-06</x:v>
      </x:c>
      <x:c r="B15" s="11" t="n">
        <x:v>4</x:v>
      </x:c>
      <x:c r="C15" s="6" t="str">
        <x:v>HB-2606-W4-C</x:v>
      </x:c>
      <x:c r="D15" s="6" t="str">
        <x:v>C 요거트</x:v>
      </x:c>
      <x:c r="E15" s="10" t="n">
        <x:v>125</x:v>
      </x:c>
      <x:c r="F15" s="10" t="n">
        <x:v>3</x:v>
      </x:c>
      <x:c r="G15" s="11" t="str">
        <x:v>closed</x:v>
      </x:c>
    </x:row>
    <x:row r="16" ht="22" customHeight="1">
      <x:c r="A16" s="6" t="str">
        <x:v>2026-07</x:v>
      </x:c>
      <x:c r="B16" s="11" t="n">
        <x:v>1</x:v>
      </x:c>
      <x:c r="C16" s="6" t="str">
        <x:v>HB-2607-W1-A</x:v>
      </x:c>
      <x:c r="D16" s="6" t="str">
        <x:v>A 플레인</x:v>
      </x:c>
      <x:c r="E16" s="10" t="n">
        <x:v>325</x:v>
      </x:c>
      <x:c r="F16" s="10" t="n">
        <x:v>3</x:v>
      </x:c>
      <x:c r="G16" s="11" t="str">
        <x:v>closed</x:v>
      </x:c>
    </x:row>
    <x:row r="17" ht="22" customHeight="1">
      <x:c r="A17" s="6" t="str">
        <x:v>2026-07</x:v>
      </x:c>
      <x:c r="B17" s="11" t="n">
        <x:v>2</x:v>
      </x:c>
      <x:c r="C17" s="6" t="str">
        <x:v>HB-2607-W2-A</x:v>
      </x:c>
      <x:c r="D17" s="6" t="str">
        <x:v>A 플레인</x:v>
      </x:c>
      <x:c r="E17" s="10" t="n">
        <x:v>340</x:v>
      </x:c>
      <x:c r="F17" s="10" t="n">
        <x:v>2</x:v>
      </x:c>
      <x:c r="G17" s="11" t="str">
        <x:v>closed</x:v>
      </x:c>
    </x:row>
    <x:row r="18" ht="22" customHeight="1">
      <x:c r="A18" s="6" t="str">
        <x:v>2026-07</x:v>
      </x:c>
      <x:c r="B18" s="11" t="n">
        <x:v>3</x:v>
      </x:c>
      <x:c r="C18" s="6" t="str">
        <x:v>HB-2607-W3-A</x:v>
      </x:c>
      <x:c r="D18" s="6" t="str">
        <x:v>A 플레인</x:v>
      </x:c>
      <x:c r="E18" s="10" t="n">
        <x:v>330</x:v>
      </x:c>
      <x:c r="F18" s="10" t="n">
        <x:v>3</x:v>
      </x:c>
      <x:c r="G18" s="11" t="str">
        <x:v>closed</x:v>
      </x:c>
    </x:row>
    <x:row r="19" ht="22" customHeight="1">
      <x:c r="A19" s="6" t="str">
        <x:v>2026-07</x:v>
      </x:c>
      <x:c r="B19" s="11" t="n">
        <x:v>4</x:v>
      </x:c>
      <x:c r="C19" s="6" t="str">
        <x:v>HB-2607-W4-A</x:v>
      </x:c>
      <x:c r="D19" s="6" t="str">
        <x:v>A 플레인</x:v>
      </x:c>
      <x:c r="E19" s="10" t="n">
        <x:v>325</x:v>
      </x:c>
      <x:c r="F19" s="10" t="n">
        <x:v>3</x:v>
      </x:c>
      <x:c r="G19" s="11" t="str">
        <x:v>closed</x:v>
      </x:c>
    </x:row>
    <x:row r="20" ht="22" customHeight="1">
      <x:c r="A20" s="6" t="str">
        <x:v>2026-07</x:v>
      </x:c>
      <x:c r="B20" s="11" t="n">
        <x:v>1</x:v>
      </x:c>
      <x:c r="C20" s="6" t="str">
        <x:v>HB-2607-W1-B</x:v>
      </x:c>
      <x:c r="D20" s="6" t="str">
        <x:v>B 스트링</x:v>
      </x:c>
      <x:c r="E20" s="10" t="n">
        <x:v>190</x:v>
      </x:c>
      <x:c r="F20" s="10" t="n">
        <x:v>3</x:v>
      </x:c>
      <x:c r="G20" s="11" t="str">
        <x:v>closed</x:v>
      </x:c>
    </x:row>
    <x:row r="21" ht="22" customHeight="1">
      <x:c r="A21" s="6" t="str">
        <x:v>2026-07</x:v>
      </x:c>
      <x:c r="B21" s="11" t="n">
        <x:v>2</x:v>
      </x:c>
      <x:c r="C21" s="6" t="str">
        <x:v>HB-2607-W2-B</x:v>
      </x:c>
      <x:c r="D21" s="6" t="str">
        <x:v>B 스트링</x:v>
      </x:c>
      <x:c r="E21" s="10" t="n">
        <x:v>185</x:v>
      </x:c>
      <x:c r="F21" s="10" t="n">
        <x:v>2</x:v>
      </x:c>
      <x:c r="G21" s="11" t="str">
        <x:v>closed</x:v>
      </x:c>
    </x:row>
    <x:row r="22" ht="22" customHeight="1">
      <x:c r="A22" s="6" t="str">
        <x:v>2026-07</x:v>
      </x:c>
      <x:c r="B22" s="11" t="n">
        <x:v>3</x:v>
      </x:c>
      <x:c r="C22" s="6" t="str">
        <x:v>HB-2607-W3-B</x:v>
      </x:c>
      <x:c r="D22" s="6" t="str">
        <x:v>B 스트링</x:v>
      </x:c>
      <x:c r="E22" s="10" t="n">
        <x:v>195</x:v>
      </x:c>
      <x:c r="F22" s="10" t="n">
        <x:v>4</x:v>
      </x:c>
      <x:c r="G22" s="11" t="str">
        <x:v>closed</x:v>
      </x:c>
    </x:row>
    <x:row r="23" ht="22" customHeight="1">
      <x:c r="A23" s="6" t="str">
        <x:v>2026-07</x:v>
      </x:c>
      <x:c r="B23" s="11" t="n">
        <x:v>4</x:v>
      </x:c>
      <x:c r="C23" s="6" t="str">
        <x:v>HB-2607-W4-B</x:v>
      </x:c>
      <x:c r="D23" s="6" t="str">
        <x:v>B 스트링</x:v>
      </x:c>
      <x:c r="E23" s="10" t="n">
        <x:v>190</x:v>
      </x:c>
      <x:c r="F23" s="10" t="n">
        <x:v>3</x:v>
      </x:c>
      <x:c r="G23" s="11" t="str">
        <x:v>closed</x:v>
      </x:c>
    </x:row>
    <x:row r="24" ht="22" customHeight="1">
      <x:c r="A24" s="6" t="str">
        <x:v>2026-07</x:v>
      </x:c>
      <x:c r="B24" s="11" t="n">
        <x:v>1</x:v>
      </x:c>
      <x:c r="C24" s="6" t="str">
        <x:v>HB-2607-W1-C</x:v>
      </x:c>
      <x:c r="D24" s="6" t="str">
        <x:v>C 요거트</x:v>
      </x:c>
      <x:c r="E24" s="10" t="n">
        <x:v>135</x:v>
      </x:c>
      <x:c r="F24" s="10" t="n">
        <x:v>3</x:v>
      </x:c>
      <x:c r="G24" s="11" t="str">
        <x:v>closed</x:v>
      </x:c>
    </x:row>
    <x:row r="25" ht="22" customHeight="1">
      <x:c r="A25" s="6" t="str">
        <x:v>2026-07</x:v>
      </x:c>
      <x:c r="B25" s="11" t="n">
        <x:v>2</x:v>
      </x:c>
      <x:c r="C25" s="6" t="str">
        <x:v>HB-2607-W2-C</x:v>
      </x:c>
      <x:c r="D25" s="6" t="str">
        <x:v>C 요거트</x:v>
      </x:c>
      <x:c r="E25" s="10" t="n">
        <x:v>140</x:v>
      </x:c>
      <x:c r="F25" s="10" t="n">
        <x:v>2</x:v>
      </x:c>
      <x:c r="G25" s="11" t="str">
        <x:v>closed</x:v>
      </x:c>
    </x:row>
    <x:row r="26" ht="22" customHeight="1">
      <x:c r="A26" s="6" t="str">
        <x:v>2026-07</x:v>
      </x:c>
      <x:c r="B26" s="11" t="n">
        <x:v>3</x:v>
      </x:c>
      <x:c r="C26" s="6" t="str">
        <x:v>HB-2607-W3-C</x:v>
      </x:c>
      <x:c r="D26" s="6" t="str">
        <x:v>C 요거트</x:v>
      </x:c>
      <x:c r="E26" s="10" t="n">
        <x:v>130</x:v>
      </x:c>
      <x:c r="F26" s="10" t="n">
        <x:v>3</x:v>
      </x:c>
      <x:c r="G26" s="11" t="str">
        <x:v>closed</x:v>
      </x:c>
    </x:row>
    <x:row r="27" ht="22" customHeight="1">
      <x:c r="A27" s="6" t="str">
        <x:v>2026-07</x:v>
      </x:c>
      <x:c r="B27" s="11" t="n">
        <x:v>4</x:v>
      </x:c>
      <x:c r="C27" s="6" t="str">
        <x:v>HB-2607-W4-C</x:v>
      </x:c>
      <x:c r="D27" s="6" t="str">
        <x:v>C 요거트</x:v>
      </x:c>
      <x:c r="E27" s="10" t="n">
        <x:v>145</x:v>
      </x:c>
      <x:c r="F27" s="10" t="n">
        <x:v>3</x:v>
      </x:c>
      <x:c r="G27" s="11" t="str">
        <x:v>closed</x:v>
      </x:c>
    </x:row>
  </x:sheetData>
  <x:pageMargins left="0.7" right="0.7" top="0.75" bottom="0.75" header="0.3" footer="0.3"/>
</x:worksheet>
</file>