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b5d42404d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2a37b830634d61"/>
    <x:sheet xmlns:r="http://schemas.openxmlformats.org/officeDocument/2006/relationships" name="Inputs" sheetId="2" r:id="Rd025e928e173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%"/>
  </x:numFmts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41eb6273e4ec3" /><Relationship Type="http://schemas.openxmlformats.org/officeDocument/2006/relationships/theme" Target="/xl/theme/theme1.xml" Id="R2022987d92da4f66" /><Relationship Type="http://schemas.openxmlformats.org/officeDocument/2006/relationships/sharedStrings" Target="/xl/sharedStrings.xml" Id="R7dd421baf3c24b55" /><Relationship Type="http://schemas.openxmlformats.org/officeDocument/2006/relationships/worksheet" Target="/xl/worksheets/sheet1.xml" Id="R452a37b830634d61" /><Relationship Type="http://schemas.openxmlformats.org/officeDocument/2006/relationships/worksheet" Target="/xl/worksheets/sheet2.xml" Id="Rd025e928e173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1" hidden="0" customWidth="1"/>
    <x:col min="5" max="5" width="21" hidden="0" customWidth="1"/>
  </x:cols>
  <x:sheetData>
    <x:row r="1">
      <x:c r="A1" s="2" t="str">
        <x:v>월별 판매·반품 요약</x:v>
      </x:c>
      <x:c r="B1" s="1"/>
      <x:c r="C1" s="1"/>
      <x:c r="D1" s="1"/>
      <x:c r="E1" s="1"/>
    </x:row>
    <x:row r="2">
      <x:c r="A2" s="1" t="str">
        <x:v>교육용 가상 데이터 · 반품률 = 반품 접수 건수 ÷ 판매 수량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5" customHeight="1">
      <x:c r="A4" s="4" t="str">
        <x:v>월</x:v>
      </x:c>
      <x:c r="B4" s="4" t="str">
        <x:v>판매 수량(개)</x:v>
      </x:c>
      <x:c r="C4" s="4" t="str">
        <x:v>반품 접수(건)</x:v>
      </x:c>
      <x:c r="D4" s="4" t="str">
        <x:v>연습용 반품률</x:v>
      </x:c>
      <x:c r="E4" s="4" t="str">
        <x:v>목표 달성률</x:v>
      </x:c>
    </x:row>
    <x:row r="5" ht="25" customHeight="1">
      <x:c r="A5" s="1" t="str">
        <x:v>2026-06</x:v>
      </x:c>
      <x:c r="B5" s="5" t="n">
        <x:f>SUMIFS(Inputs!$C$4:$C$9,Inputs!$A$4:$A$9,A5)</x:f>
        <x:v>2500</x:v>
      </x:c>
      <x:c r="C5" s="5" t="n">
        <x:f>SUMIFS(Inputs!$D$4:$D$9,Inputs!$A$4:$A$9,A5)</x:f>
        <x:v>30</x:v>
      </x:c>
      <x:c r="D5" s="6" t="n">
        <x:f>C5/B5</x:f>
        <x:v>0.012</x:v>
      </x:c>
      <x:c r="E5" s="8" t="str">
        <x:v>n.a.</x:v>
      </x:c>
    </x:row>
    <x:row r="6" ht="25" customHeight="1">
      <x:c r="A6" s="1" t="str">
        <x:v>2026-07</x:v>
      </x:c>
      <x:c r="B6" s="5" t="n">
        <x:f>SUMIFS(Inputs!$C$4:$C$9,Inputs!$A$4:$A$9,A6)</x:f>
        <x:v>2630</x:v>
      </x:c>
      <x:c r="C6" s="5" t="n">
        <x:f>SUMIFS(Inputs!$D$4:$D$9,Inputs!$A$4:$A$9,A6)</x:f>
        <x:v>34</x:v>
      </x:c>
      <x:c r="D6" s="6" t="n">
        <x:f>C6/B6</x:f>
        <x:v>0.012927756653992395</x:v>
      </x:c>
      <x:c r="E6" s="7" t="n">
        <x:f>B6/SUMIFS(Inputs!$E$4:$E$9,Inputs!$A$4:$A$9,A6)</x:f>
        <x:v>0.9669117647058824</x:v>
      </x:c>
    </x:row>
    <x:row r="7" ht="25" customHeight="1">
      <x:c r="A7" s="1"/>
      <x:c r="B7" s="1"/>
      <x:c r="C7" s="1"/>
      <x:c r="D7" s="1"/>
      <x:c r="E7" s="1"/>
    </x:row>
    <x:row r="8" ht="25" customHeight="1">
      <x:c r="A8" s="4" t="str">
        <x:v>제품</x:v>
      </x:c>
      <x:c r="B8" s="4" t="str">
        <x:v>6월 반품률</x:v>
      </x:c>
      <x:c r="C8" s="4" t="str">
        <x:v>7월 반품률</x:v>
      </x:c>
      <x:c r="D8" s="4" t="str">
        <x:v>7월 목표(개)</x:v>
      </x:c>
      <x:c r="E8" s="4" t="str">
        <x:v>7월 달성률</x:v>
      </x:c>
    </x:row>
    <x:row r="9" ht="25" customHeight="1">
      <x:c r="A9" s="1" t="str">
        <x:v>A 플레인</x:v>
      </x:c>
      <x:c r="B9" s="6" t="n">
        <x:f>SUMIFS(Inputs!$D$4:$D$9,Inputs!$A$4:$A$9,"2026-06",Inputs!$B$4:$B$9,A9)/SUMIFS(Inputs!$C$4:$C$9,Inputs!$A$4:$A$9,"2026-06",Inputs!$B$4:$B$9,A9)</x:f>
        <x:v>0.01</x:v>
      </x:c>
      <x:c r="C9" s="6" t="n">
        <x:f>SUMIFS(Inputs!$D$4:$D$9,Inputs!$A$4:$A$9,"2026-07",Inputs!$B$4:$B$9,A9)/SUMIFS(Inputs!$C$4:$C$9,Inputs!$A$4:$A$9,"2026-07",Inputs!$B$4:$B$9,A9)</x:f>
        <x:v>0.008333333333333333</x:v>
      </x:c>
      <x:c r="D9" s="5" t="n">
        <x:f>SUMIFS(Inputs!$E$4:$E$9,Inputs!$A$4:$A$9,"2026-07",Inputs!$B$4:$B$9,A9)</x:f>
        <x:v>1300</x:v>
      </x:c>
      <x:c r="E9" s="7" t="n">
        <x:f>SUMIFS(Inputs!$C$4:$C$9,Inputs!$A$4:$A$9,"2026-07",Inputs!$B$4:$B$9,A9)/D9</x:f>
        <x:v>1.0153846153846153</x:v>
      </x:c>
    </x:row>
    <x:row r="10" ht="25" customHeight="1">
      <x:c r="A10" s="1" t="str">
        <x:v>B 스트링</x:v>
      </x:c>
      <x:c r="B10" s="6" t="n">
        <x:f>SUMIFS(Inputs!$D$4:$D$9,Inputs!$A$4:$A$9,"2026-06",Inputs!$B$4:$B$9,A10)/SUMIFS(Inputs!$C$4:$C$9,Inputs!$A$4:$A$9,"2026-06",Inputs!$B$4:$B$9,A10)</x:f>
        <x:v>0.01</x:v>
      </x:c>
      <x:c r="C10" s="6" t="n">
        <x:f>SUMIFS(Inputs!$D$4:$D$9,Inputs!$A$4:$A$9,"2026-07",Inputs!$B$4:$B$9,A10)/SUMIFS(Inputs!$C$4:$C$9,Inputs!$A$4:$A$9,"2026-07",Inputs!$B$4:$B$9,A10)</x:f>
        <x:v>0.015789473684210527</x:v>
      </x:c>
      <x:c r="D10" s="5" t="n">
        <x:f>SUMIFS(Inputs!$E$4:$E$9,Inputs!$A$4:$A$9,"2026-07",Inputs!$B$4:$B$9,A10)</x:f>
        <x:v>820</x:v>
      </x:c>
      <x:c r="E10" s="7" t="n">
        <x:f>SUMIFS(Inputs!$C$4:$C$9,Inputs!$A$4:$A$9,"2026-07",Inputs!$B$4:$B$9,A10)/D10</x:f>
        <x:v>0.926829268292683</x:v>
      </x:c>
    </x:row>
    <x:row r="11" ht="25" customHeight="1">
      <x:c r="A11" s="1" t="str">
        <x:v>C 요거트</x:v>
      </x:c>
      <x:c r="B11" s="6" t="n">
        <x:f>SUMIFS(Inputs!$D$4:$D$9,Inputs!$A$4:$A$9,"2026-06",Inputs!$B$4:$B$9,A11)/SUMIFS(Inputs!$C$4:$C$9,Inputs!$A$4:$A$9,"2026-06",Inputs!$B$4:$B$9,A11)</x:f>
        <x:v>0.02</x:v>
      </x:c>
      <x:c r="C11" s="6" t="n">
        <x:f>SUMIFS(Inputs!$D$4:$D$9,Inputs!$A$4:$A$9,"2026-07",Inputs!$B$4:$B$9,A11)/SUMIFS(Inputs!$C$4:$C$9,Inputs!$A$4:$A$9,"2026-07",Inputs!$B$4:$B$9,A11)</x:f>
        <x:v>0.02</x:v>
      </x:c>
      <x:c r="D11" s="5" t="n">
        <x:f>SUMIFS(Inputs!$E$4:$E$9,Inputs!$A$4:$A$9,"2026-07",Inputs!$B$4:$B$9,A11)</x:f>
        <x:v>600</x:v>
      </x:c>
      <x:c r="E11" s="7" t="n">
        <x:f>SUMIFS(Inputs!$C$4:$C$9,Inputs!$A$4:$A$9,"2026-07",Inputs!$B$4:$B$9,A11)/D11</x:f>
        <x:v>0.9166666666666666</x:v>
      </x:c>
    </x:row>
    <x:row r="12">
      <x:c r="A12" s="1"/>
      <x:c r="B12" s="1"/>
      <x:c r="C12" s="1"/>
      <x:c r="D12" s="1"/>
      <x:c r="E12" s="1"/>
    </x:row>
    <x:row r="13">
      <x:c r="A13" s="1" t="str">
        <x:v>원인·유형·안전성·법규 적합성은 이 파일로 판단할 수 없습니다.</x:v>
      </x:c>
      <x:c r="B13" s="1"/>
      <x:c r="C13" s="1"/>
      <x:c r="D13" s="1"/>
      <x:c r="E1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한빛유업 가상 실습 데이터</x:v>
      </x:c>
      <x:c r="B1" s="1"/>
      <x:c r="C1" s="1"/>
      <x:c r="D1" s="1"/>
      <x:c r="E1" s="1"/>
    </x:row>
    <x:row r="2">
      <x:c r="A2" s="1" t="str">
        <x:v>수치는 교육용 가상 값입니다. 실제 기업 데이터가 아닙니다.</x:v>
      </x:c>
      <x:c r="B2" s="1"/>
      <x:c r="C2" s="1"/>
      <x:c r="D2" s="1"/>
      <x:c r="E2" s="1"/>
    </x:row>
    <x:row r="3">
      <x:c r="A3" s="4" t="str">
        <x:v>월</x:v>
      </x:c>
      <x:c r="B3" s="4" t="str">
        <x:v>제품</x:v>
      </x:c>
      <x:c r="C3" s="4" t="str">
        <x:v>판매 수량(개)</x:v>
      </x:c>
      <x:c r="D3" s="4" t="str">
        <x:v>반품 접수(건)</x:v>
      </x:c>
      <x:c r="E3" s="4" t="str">
        <x:v>7월 목표(개)</x:v>
      </x:c>
    </x:row>
    <x:row r="4" ht="25" customHeight="1">
      <x:c r="A4" s="1" t="str">
        <x:v>2026-06</x:v>
      </x:c>
      <x:c r="B4" s="1" t="str">
        <x:v>A 플레인</x:v>
      </x:c>
      <x:c r="C4" s="5" t="n">
        <x:v>1200</x:v>
      </x:c>
      <x:c r="D4" s="5" t="n">
        <x:v>12</x:v>
      </x:c>
      <x:c r="E4" s="5"/>
    </x:row>
    <x:row r="5" ht="25" customHeight="1">
      <x:c r="A5" s="1" t="str">
        <x:v>2026-06</x:v>
      </x:c>
      <x:c r="B5" s="1" t="str">
        <x:v>B 스트링</x:v>
      </x:c>
      <x:c r="C5" s="5" t="n">
        <x:v>800</x:v>
      </x:c>
      <x:c r="D5" s="5" t="n">
        <x:v>8</x:v>
      </x:c>
      <x:c r="E5" s="5"/>
    </x:row>
    <x:row r="6" ht="25" customHeight="1">
      <x:c r="A6" s="1" t="str">
        <x:v>2026-06</x:v>
      </x:c>
      <x:c r="B6" s="1" t="str">
        <x:v>C 요거트</x:v>
      </x:c>
      <x:c r="C6" s="5" t="n">
        <x:v>500</x:v>
      </x:c>
      <x:c r="D6" s="5" t="n">
        <x:v>10</x:v>
      </x:c>
      <x:c r="E6" s="5"/>
    </x:row>
    <x:row r="7" ht="25" customHeight="1">
      <x:c r="A7" s="1" t="str">
        <x:v>2026-07</x:v>
      </x:c>
      <x:c r="B7" s="1" t="str">
        <x:v>A 플레인</x:v>
      </x:c>
      <x:c r="C7" s="5" t="n">
        <x:v>1320</x:v>
      </x:c>
      <x:c r="D7" s="5" t="n">
        <x:v>11</x:v>
      </x:c>
      <x:c r="E7" s="5" t="n">
        <x:v>1300</x:v>
      </x:c>
    </x:row>
    <x:row r="8" ht="25" customHeight="1">
      <x:c r="A8" s="1" t="str">
        <x:v>2026-07</x:v>
      </x:c>
      <x:c r="B8" s="1" t="str">
        <x:v>B 스트링</x:v>
      </x:c>
      <x:c r="C8" s="5" t="n">
        <x:v>760</x:v>
      </x:c>
      <x:c r="D8" s="5" t="n">
        <x:v>12</x:v>
      </x:c>
      <x:c r="E8" s="5" t="n">
        <x:v>820</x:v>
      </x:c>
    </x:row>
    <x:row r="9" ht="25" customHeight="1">
      <x:c r="A9" s="1" t="str">
        <x:v>2026-07</x:v>
      </x:c>
      <x:c r="B9" s="1" t="str">
        <x:v>C 요거트</x:v>
      </x:c>
      <x:c r="C9" s="5" t="n">
        <x:v>550</x:v>
      </x:c>
      <x:c r="D9" s="5" t="n">
        <x:v>11</x:v>
      </x:c>
      <x:c r="E9" s="5" t="n">
        <x:v>600</x:v>
      </x:c>
    </x:row>
  </x:sheetData>
  <x:pageMargins left="0.7" right="0.7" top="0.75" bottom="0.75" header="0.3" footer="0.3"/>
</x:worksheet>
</file>